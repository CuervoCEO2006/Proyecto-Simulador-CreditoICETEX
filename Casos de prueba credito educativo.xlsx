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ulas-tic\Downloads\"/>
    </mc:Choice>
  </mc:AlternateContent>
  <xr:revisionPtr revIDLastSave="0" documentId="8_{19A135DD-8F9B-49F3-9427-C689861201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Credito Educativ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G13" i="1" s="1"/>
  <c r="F13" i="1" s="1"/>
  <c r="E12" i="1"/>
  <c r="G12" i="1" s="1"/>
  <c r="F12" i="1" s="1"/>
  <c r="E11" i="1"/>
  <c r="G11" i="1" s="1"/>
  <c r="F11" i="1" s="1"/>
  <c r="E8" i="1"/>
  <c r="G8" i="1" s="1"/>
  <c r="F8" i="1" s="1"/>
  <c r="G7" i="1"/>
  <c r="F7" i="1" s="1"/>
  <c r="E7" i="1"/>
  <c r="G6" i="1"/>
  <c r="F6" i="1"/>
  <c r="E6" i="1"/>
</calcChain>
</file>

<file path=xl/sharedStrings.xml><?xml version="1.0" encoding="utf-8"?>
<sst xmlns="http://schemas.openxmlformats.org/spreadsheetml/2006/main" count="30" uniqueCount="30">
  <si>
    <t>Calculo de la Cuota</t>
  </si>
  <si>
    <t>(P * i) / (1 - (1 + i) ** (-n))</t>
  </si>
  <si>
    <t>ENTRADAS</t>
  </si>
  <si>
    <t>SALIDAS</t>
  </si>
  <si>
    <t>Tipo de caso</t>
  </si>
  <si>
    <t>Monto credito</t>
  </si>
  <si>
    <t>Tasa mensual</t>
  </si>
  <si>
    <t>Plazo (meses)</t>
  </si>
  <si>
    <t>Cuota mensual esperada</t>
  </si>
  <si>
    <t>Total intereses esperado</t>
  </si>
  <si>
    <t>Total pagado esperado</t>
  </si>
  <si>
    <t>Casos Normales</t>
  </si>
  <si>
    <t>Caso Normal 1</t>
  </si>
  <si>
    <t>Caso Normal 2</t>
  </si>
  <si>
    <t>Caso Normal 3</t>
  </si>
  <si>
    <t>Casos Extraordinarios</t>
  </si>
  <si>
    <t>Tasa cero</t>
  </si>
  <si>
    <t>Cuota unica (1 mes)</t>
  </si>
  <si>
    <t>Credito alto - plazo largo</t>
  </si>
  <si>
    <t>Casos de Error</t>
  </si>
  <si>
    <t>Error Monto</t>
  </si>
  <si>
    <t>-</t>
  </si>
  <si>
    <t>ERROR: El monto del credito debe ser mayor que cero</t>
  </si>
  <si>
    <t>Error Tasa (negativa)</t>
  </si>
  <si>
    <t>ERROR: La tasa de interes no puede ser negativa</t>
  </si>
  <si>
    <t>Error Plazo (cero)</t>
  </si>
  <si>
    <t>Error Plazo (negativo)</t>
  </si>
  <si>
    <t>ERROR: El plazo no puede ser cero</t>
  </si>
  <si>
    <t>ERROR: El plazo no puede ser negativo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</si>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</sst>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D9D9D9"/>
        <bgColor rgb="FFCCFFCC"/>
      </patternFill>
    </fill>
    <fill>
      <patternFill patternType="solid">
        <fgColor theme="0"/>
        <bgColor rgb="FFCC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0" fontId="1" fillId="5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pane ySplit="4" topLeftCell="A5" activePane="bottomLeft" state="frozen"/>
      <selection pane="bottomLeft" activeCell="K15" sqref="K15"/>
    </sheetView>
  </sheetViews>
  <sheetFormatPr baseColWidth="10" defaultColWidth="8.6640625" defaultRowHeight="14.4" x14ac:dyDescent="0.3"/>
  <cols>
    <col min="1" max="1" width="25.33203125" bestFit="1" customWidth="1"/>
    <col min="2" max="2" width="26.33203125" bestFit="1" customWidth="1"/>
    <col min="3" max="3" width="13" customWidth="1"/>
    <col min="4" max="4" width="14" customWidth="1"/>
    <col min="5" max="7" width="20" customWidth="1"/>
    <col min="8" max="8" width="20.44140625" customWidth="1"/>
  </cols>
  <sheetData>
    <row r="1" spans="1:11" ht="15.6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11" ht="15.6" x14ac:dyDescent="0.3">
      <c r="A2" s="2"/>
      <c r="B2" s="2"/>
      <c r="C2" s="2"/>
      <c r="D2" s="2"/>
      <c r="E2" s="2"/>
      <c r="F2" s="2"/>
      <c r="G2" s="2"/>
      <c r="H2" s="2"/>
      <c r="I2" s="2"/>
    </row>
    <row r="3" spans="1:11" ht="15.6" x14ac:dyDescent="0.3">
      <c r="A3" s="3"/>
      <c r="B3" s="13" t="s">
        <v>2</v>
      </c>
      <c r="C3" s="13"/>
      <c r="D3" s="13"/>
      <c r="E3" s="14" t="s">
        <v>3</v>
      </c>
      <c r="F3" s="14"/>
      <c r="G3" s="14"/>
      <c r="H3" s="3"/>
      <c r="I3" s="2"/>
    </row>
    <row r="4" spans="1:11" ht="31.5" customHeight="1" x14ac:dyDescent="0.3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12"/>
      <c r="I4" s="2"/>
    </row>
    <row r="5" spans="1:11" ht="15.6" x14ac:dyDescent="0.3">
      <c r="A5" s="4" t="s">
        <v>11</v>
      </c>
      <c r="B5" s="5"/>
      <c r="C5" s="5"/>
      <c r="D5" s="5"/>
      <c r="E5" s="5"/>
      <c r="F5" s="5"/>
      <c r="G5" s="5"/>
      <c r="H5" s="3"/>
      <c r="I5" s="2"/>
    </row>
    <row r="6" spans="1:11" ht="15.6" x14ac:dyDescent="0.3">
      <c r="A6" s="5" t="s">
        <v>12</v>
      </c>
      <c r="B6" s="6">
        <v>10000000</v>
      </c>
      <c r="C6" s="7">
        <v>1.4999999999999999E-2</v>
      </c>
      <c r="D6" s="8">
        <v>24</v>
      </c>
      <c r="E6" s="6">
        <f>(B6*C6)/(1-(1+C6)^(-D6))</f>
        <v>499241.01969509112</v>
      </c>
      <c r="F6" s="6">
        <f>G6-B6</f>
        <v>1981784.4726821873</v>
      </c>
      <c r="G6" s="6">
        <f>E6*D6</f>
        <v>11981784.472682187</v>
      </c>
      <c r="H6" s="3"/>
      <c r="I6" s="2"/>
    </row>
    <row r="7" spans="1:11" ht="15.6" x14ac:dyDescent="0.3">
      <c r="A7" s="5" t="s">
        <v>13</v>
      </c>
      <c r="B7" s="6">
        <v>5000000</v>
      </c>
      <c r="C7" s="7">
        <v>0.01</v>
      </c>
      <c r="D7" s="8">
        <v>12</v>
      </c>
      <c r="E7" s="6">
        <f>(B7*C7)/(1-(1+C7)^(-D7))</f>
        <v>444243.94339170848</v>
      </c>
      <c r="F7" s="6">
        <f>G7-B7</f>
        <v>330927.32070050202</v>
      </c>
      <c r="G7" s="6">
        <f>E7*D7</f>
        <v>5330927.320700502</v>
      </c>
      <c r="H7" s="3"/>
      <c r="I7" s="2"/>
    </row>
    <row r="8" spans="1:11" ht="15.6" x14ac:dyDescent="0.3">
      <c r="A8" s="5" t="s">
        <v>14</v>
      </c>
      <c r="B8" s="6">
        <v>20000000</v>
      </c>
      <c r="C8" s="7">
        <v>1.2500000000000001E-2</v>
      </c>
      <c r="D8" s="8">
        <v>36</v>
      </c>
      <c r="E8" s="6">
        <f>(B8*C8)/(1-(1+C8)^(-D8))</f>
        <v>693306.57008388313</v>
      </c>
      <c r="F8" s="6">
        <f>G8-B8</f>
        <v>4959036.5230197906</v>
      </c>
      <c r="G8" s="6">
        <f>E8*D8</f>
        <v>24959036.523019791</v>
      </c>
      <c r="H8" s="3"/>
      <c r="I8" s="2"/>
    </row>
    <row r="9" spans="1:11" ht="15.6" x14ac:dyDescent="0.3">
      <c r="A9" s="3"/>
      <c r="B9" s="3"/>
      <c r="C9" s="3"/>
      <c r="D9" s="3"/>
      <c r="E9" s="3"/>
      <c r="F9" s="3"/>
      <c r="G9" s="3"/>
      <c r="H9" s="3"/>
      <c r="I9" s="2"/>
    </row>
    <row r="10" spans="1:11" ht="15.6" x14ac:dyDescent="0.3">
      <c r="A10" s="4" t="s">
        <v>15</v>
      </c>
      <c r="B10" s="3"/>
      <c r="C10" s="3"/>
      <c r="D10" s="3"/>
      <c r="E10" s="3"/>
      <c r="F10" s="3"/>
      <c r="G10" s="3"/>
      <c r="H10" s="3"/>
      <c r="I10" s="2"/>
    </row>
    <row r="11" spans="1:11" ht="15.6" x14ac:dyDescent="0.3">
      <c r="A11" s="5" t="s">
        <v>16</v>
      </c>
      <c r="B11" s="6">
        <v>3000000</v>
      </c>
      <c r="C11" s="7">
        <v>0</v>
      </c>
      <c r="D11" s="8">
        <v>6</v>
      </c>
      <c r="E11" s="6">
        <f>B11/D11</f>
        <v>500000</v>
      </c>
      <c r="F11" s="6">
        <f>G11-B11</f>
        <v>0</v>
      </c>
      <c r="G11" s="6">
        <f>E11*D11</f>
        <v>3000000</v>
      </c>
      <c r="H11" s="3"/>
      <c r="I11" s="2"/>
    </row>
    <row r="12" spans="1:11" ht="15.6" x14ac:dyDescent="0.3">
      <c r="A12" s="5" t="s">
        <v>17</v>
      </c>
      <c r="B12" s="6">
        <v>500000</v>
      </c>
      <c r="C12" s="7">
        <v>0.01</v>
      </c>
      <c r="D12" s="8">
        <v>1</v>
      </c>
      <c r="E12" s="6">
        <f>(B12*C12)/(1-(1+C12)^(-D12))</f>
        <v>504999.99999999953</v>
      </c>
      <c r="F12" s="6">
        <f>G12-B12</f>
        <v>4999.9999999995343</v>
      </c>
      <c r="G12" s="6">
        <f>E12*D12</f>
        <v>504999.99999999953</v>
      </c>
      <c r="H12" s="3"/>
      <c r="I12" s="2"/>
    </row>
    <row r="13" spans="1:11" ht="15.6" x14ac:dyDescent="0.3">
      <c r="A13" s="5" t="s">
        <v>18</v>
      </c>
      <c r="B13" s="6">
        <v>25000000</v>
      </c>
      <c r="C13" s="7">
        <v>1.4999999999999999E-2</v>
      </c>
      <c r="D13" s="8">
        <v>60</v>
      </c>
      <c r="E13" s="6">
        <f>(B13*C13)/(1-(1+C13)^(-D13))</f>
        <v>634835.68567773083</v>
      </c>
      <c r="F13" s="6">
        <f>G13-B13</f>
        <v>13090141.140663847</v>
      </c>
      <c r="G13" s="6">
        <f>E13*D13</f>
        <v>38090141.140663847</v>
      </c>
      <c r="H13" s="3"/>
      <c r="I13" s="2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2"/>
    </row>
    <row r="15" spans="1:11" ht="15.6" x14ac:dyDescent="0.3">
      <c r="A15" s="10" t="s">
        <v>19</v>
      </c>
      <c r="B15" s="3"/>
      <c r="C15" s="3"/>
      <c r="D15" s="3"/>
      <c r="E15" s="3"/>
      <c r="F15" s="3"/>
      <c r="G15" s="3"/>
      <c r="H15" s="3"/>
      <c r="I15" s="2"/>
      <c r="K15" t="s">
        <v>29</v>
      </c>
    </row>
    <row r="16" spans="1:11" ht="15.6" x14ac:dyDescent="0.3">
      <c r="A16" s="5" t="s">
        <v>20</v>
      </c>
      <c r="B16" s="5" t="s">
        <v>21</v>
      </c>
      <c r="C16" s="7">
        <v>1.4999999999999999E-2</v>
      </c>
      <c r="D16" s="8">
        <v>24</v>
      </c>
      <c r="E16" s="11" t="s">
        <v>22</v>
      </c>
      <c r="F16" s="11"/>
      <c r="G16" s="11"/>
      <c r="H16" s="3"/>
      <c r="I16" s="2"/>
    </row>
    <row r="17" spans="1:9" ht="15.6" x14ac:dyDescent="0.3">
      <c r="A17" s="5" t="s">
        <v>23</v>
      </c>
      <c r="B17" s="5">
        <v>10000000</v>
      </c>
      <c r="C17" s="7">
        <v>-0.01</v>
      </c>
      <c r="D17" s="8">
        <v>24</v>
      </c>
      <c r="E17" s="11" t="s">
        <v>24</v>
      </c>
      <c r="F17" s="11"/>
      <c r="G17" s="11"/>
      <c r="H17" s="3"/>
      <c r="I17" s="2"/>
    </row>
    <row r="18" spans="1:9" ht="15.6" x14ac:dyDescent="0.3">
      <c r="A18" s="5" t="s">
        <v>25</v>
      </c>
      <c r="B18" s="5">
        <v>10000000</v>
      </c>
      <c r="C18" s="7">
        <v>1.4999999999999999E-2</v>
      </c>
      <c r="D18" s="8">
        <v>0</v>
      </c>
      <c r="E18" s="11" t="s">
        <v>27</v>
      </c>
      <c r="F18" s="11"/>
      <c r="G18" s="11"/>
      <c r="H18" s="3"/>
      <c r="I18" s="2"/>
    </row>
    <row r="19" spans="1:9" ht="15.6" x14ac:dyDescent="0.3">
      <c r="A19" s="5" t="s">
        <v>26</v>
      </c>
      <c r="B19" s="5">
        <v>10000000</v>
      </c>
      <c r="C19" s="7">
        <v>1.4999999999999999E-2</v>
      </c>
      <c r="D19" s="8">
        <v>-12</v>
      </c>
      <c r="E19" s="11" t="s">
        <v>28</v>
      </c>
      <c r="F19" s="11"/>
      <c r="G19" s="11"/>
      <c r="H19" s="3"/>
      <c r="I19" s="2"/>
    </row>
    <row r="20" spans="1:9" ht="15.6" x14ac:dyDescent="0.3">
      <c r="A20" s="2"/>
      <c r="B20" s="2"/>
      <c r="C20" s="2"/>
      <c r="D20" s="2"/>
      <c r="E20" s="2"/>
      <c r="F20" s="2"/>
      <c r="G20" s="2"/>
      <c r="H20" s="2"/>
      <c r="I20" s="2"/>
    </row>
  </sheetData>
  <mergeCells count="6">
    <mergeCell ref="E19:G19"/>
    <mergeCell ref="B3:D3"/>
    <mergeCell ref="E3:G3"/>
    <mergeCell ref="E16:G16"/>
    <mergeCell ref="E17:G17"/>
    <mergeCell ref="E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Credito Educativo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Aulas-tic</cp:lastModifiedBy>
  <cp:revision>0</cp:revision>
  <dcterms:created xsi:type="dcterms:W3CDTF">2026-07-28T17:40:17Z</dcterms:created>
  <dcterms:modified xsi:type="dcterms:W3CDTF">2026-07-28T18:06:06Z</dcterms:modified>
  <dc:language>en-US</dc:language>
</cp:coreProperties>
</file>